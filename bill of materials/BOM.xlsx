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\Desktop\Synthese\"/>
    </mc:Choice>
  </mc:AlternateContent>
  <xr:revisionPtr revIDLastSave="0" documentId="13_ncr:1_{95707180-D67F-4504-9655-8AC7A485E544}" xr6:coauthVersionLast="47" xr6:coauthVersionMax="47" xr10:uidLastSave="{00000000-0000-0000-0000-000000000000}"/>
  <bookViews>
    <workbookView xWindow="-108" yWindow="-108" windowWidth="23256" windowHeight="12456" xr2:uid="{D7A8B293-2E9A-4681-AE2E-A1A79B7E65E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E3" i="1"/>
  <c r="H3" i="1" s="1"/>
  <c r="E18" i="1"/>
  <c r="H18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E17" i="1"/>
  <c r="H2" i="1"/>
  <c r="I2" i="1" s="1"/>
  <c r="I3" i="1" l="1"/>
  <c r="I4" i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</calcChain>
</file>

<file path=xl/sharedStrings.xml><?xml version="1.0" encoding="utf-8"?>
<sst xmlns="http://schemas.openxmlformats.org/spreadsheetml/2006/main" count="156" uniqueCount="57">
  <si>
    <t>43.2 mm wheel</t>
  </si>
  <si>
    <t>spacers</t>
  </si>
  <si>
    <t>naam</t>
  </si>
  <si>
    <t>volgnummer</t>
  </si>
  <si>
    <t>nieuwe/recup</t>
  </si>
  <si>
    <t>omschrijving</t>
  </si>
  <si>
    <t>aantal</t>
  </si>
  <si>
    <t>kostprijs/stuk</t>
  </si>
  <si>
    <t>subtotaal</t>
  </si>
  <si>
    <t>som</t>
  </si>
  <si>
    <t xml:space="preserve">link : </t>
  </si>
  <si>
    <t xml:space="preserve">https://www.amazon.com.be/-/nl/Geekworm-Stacking-Raspberry-specificaties-Extender/dp/B0828SRBTC/ref=pd_ci_mcx_mh_sb_sims_d_3_title?pd_rd_w=14sQJ&amp;content-id=amzn1.sym.8f021d27-412b-40ad-820a-d321a3d0c60c&amp;pf_rd_p=8f021d27-412b-40ad-820a-d321a3d0c60c&amp;pf_rd_r=QTF6CDE0P2VHTN68SBCK&amp;pd_rd_wg=H2gP2&amp;pd_rd_r=ea4340ae-6c0e-49cf-9859-53f1b8794667&amp;pd_rd_i=B0828SRBTC </t>
  </si>
  <si>
    <t>elekrticiteits draad</t>
  </si>
  <si>
    <t xml:space="preserve"> 0.05mm² </t>
  </si>
  <si>
    <t xml:space="preserve">https://www.amazon.com.be/-/nl/gp/product/B098JM714B/ref=ox_sc_rp_title_rp_1?smid=&amp;pf_rd_p=fe368e60-acff-4839-bd79-50fad4fe4d4e&amp;pf_rd_r=E397CGVM13SM2H6K05KZ&amp;pd_rd_wg=Uf45p&amp;pd_rd_i=B098JM714B&amp;pd_rd_w=Wd0r1&amp;content-id=amzn1.sym.fe368e60-acff-4839-bd79-50fad4fe4d4e&amp;pd_rd_r=7ccfce86-e801-494a-b935-186e17f992bf&amp;th=1 </t>
  </si>
  <si>
    <t>3D print zie /mechanish</t>
  </si>
  <si>
    <t>LEGO</t>
  </si>
  <si>
    <t xml:space="preserve">LEGO </t>
  </si>
  <si>
    <t>43.2 mm tire</t>
  </si>
  <si>
    <t>Aslong JGA12-N20-10</t>
  </si>
  <si>
    <t>6V 1500RPM</t>
  </si>
  <si>
    <t>GAONENG GNB LIHV 2s</t>
  </si>
  <si>
    <t>7.6V 300mAh 80c XT30</t>
  </si>
  <si>
    <t>ESP32-C3 DEV board</t>
  </si>
  <si>
    <t xml:space="preserve">https://www.drone-fpv-racer.com/en/2s-300mah-80c-gnb-lihv-battery-xt30-by-gaoneng-13902.html </t>
  </si>
  <si>
    <t>3.3V 500mA - HLK-K7803-500R3</t>
  </si>
  <si>
    <t xml:space="preserve">Hi-Link DC-DC  </t>
  </si>
  <si>
    <t>1.5A - 5V output</t>
  </si>
  <si>
    <t xml:space="preserve">DC-DC Step-down Buck Converter </t>
  </si>
  <si>
    <t>TB6612FNG</t>
  </si>
  <si>
    <t xml:space="preserve"> Easy Motor Driver </t>
  </si>
  <si>
    <t>8x IR Lijn Tracking Module</t>
  </si>
  <si>
    <t xml:space="preserve">40mm Bereik </t>
  </si>
  <si>
    <t>eenheid</t>
  </si>
  <si>
    <t>€/g</t>
  </si>
  <si>
    <t>€/cm</t>
  </si>
  <si>
    <t>DnaarLegoCross</t>
  </si>
  <si>
    <t>€/stuk</t>
  </si>
  <si>
    <t>xt30- male connector</t>
  </si>
  <si>
    <t>dupont draadjes</t>
  </si>
  <si>
    <t>M3 DIN 934</t>
  </si>
  <si>
    <t>Countersunk Hex Socket Screw</t>
  </si>
  <si>
    <t xml:space="preserve">Hex Nut </t>
  </si>
  <si>
    <t xml:space="preserve">Button Head Socket Screw </t>
  </si>
  <si>
    <t>Body</t>
  </si>
  <si>
    <t>Baterijhouder</t>
  </si>
  <si>
    <t>&gt;10 cm</t>
  </si>
  <si>
    <t>(Pin Len: 5.5mm)</t>
  </si>
  <si>
    <t>7 mm</t>
  </si>
  <si>
    <t>Vrouwelijke Header</t>
  </si>
  <si>
    <t>(Pin Len: 2 mm)</t>
  </si>
  <si>
    <t>10 cm Blauw</t>
  </si>
  <si>
    <t>Expirimenteer printplaat</t>
  </si>
  <si>
    <t>5 x 7 cm</t>
  </si>
  <si>
    <t>M3 x 14  DIN 7991</t>
  </si>
  <si>
    <t>M3 x 14 DIN 7380</t>
  </si>
  <si>
    <t>3D print zie /mechanish ! 2 KEER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</si>
</sst>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&quot;€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2"/>
    <xf numFmtId="0" fontId="0" fillId="2" borderId="0" xfId="0" applyFill="1"/>
    <xf numFmtId="2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44" fontId="0" fillId="0" borderId="0" xfId="1" applyFont="1"/>
    <xf numFmtId="44" fontId="0" fillId="2" borderId="0" xfId="1" applyFont="1" applyFill="1"/>
    <xf numFmtId="0" fontId="0" fillId="3" borderId="0" xfId="0" applyFill="1"/>
    <xf numFmtId="44" fontId="0" fillId="3" borderId="0" xfId="1" applyFont="1" applyFill="1"/>
    <xf numFmtId="0" fontId="3" fillId="3" borderId="0" xfId="0" applyFont="1" applyFill="1"/>
    <xf numFmtId="164" fontId="0" fillId="3" borderId="0" xfId="0" applyNumberFormat="1" applyFill="1"/>
    <xf numFmtId="0" fontId="0" fillId="4" borderId="0" xfId="0" applyFill="1"/>
    <xf numFmtId="44" fontId="0" fillId="4" borderId="0" xfId="1" applyFont="1" applyFill="1"/>
    <xf numFmtId="164" fontId="0" fillId="4" borderId="0" xfId="0" applyNumberFormat="1" applyFill="1"/>
  </cellXfs>
  <cellStyles count="3">
    <cellStyle name="Hyperlink" xfId="2" builtinId="8"/>
    <cellStyle name="Standaard" xfId="0" builtinId="0"/>
    <cellStyle name="Valuta" xfId="1" builtinId="4"/>
  </cellStyles>
  <dxfs count="9">
    <dxf>
      <numFmt numFmtId="164" formatCode="&quot;€&quot;\ #,##0.00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72219-7713-407C-B686-C8F9AA20873A}" name="Tabel1" displayName="Tabel1" ref="A1:I23" totalsRowShown="0">
  <autoFilter ref="A1:I23" xr:uid="{F5B72219-7713-407C-B686-C8F9AA20873A}"/>
  <tableColumns count="9">
    <tableColumn id="1" xr3:uid="{35EE5BE1-C995-4957-B867-C331A8CC4CA4}" name="volgnummer" dataDxfId="8"/>
    <tableColumn id="2" xr3:uid="{E5BEE2E5-BA3B-41D8-82C0-67EFBD6C9A3C}" name="naam" dataDxfId="7"/>
    <tableColumn id="3" xr3:uid="{AA34F85D-77B9-4282-98CE-AC157D7BDE75}" name="omschrijving" dataDxfId="6"/>
    <tableColumn id="4" xr3:uid="{FD73A7D9-75EE-467C-A70F-F996719B549A}" name="nieuwe/recup" dataDxfId="5"/>
    <tableColumn id="5" xr3:uid="{CBD41F95-C43F-447A-AF78-8D5F67A26D54}" name="kostprijs/stuk" dataDxfId="4" dataCellStyle="Valuta"/>
    <tableColumn id="6" xr3:uid="{D4DDCAED-8231-4566-9C1E-6146CED5E72B}" name="eenheid" dataDxfId="3"/>
    <tableColumn id="7" xr3:uid="{5B839CE0-A0D7-4DAB-B400-80A21A249BCC}" name="aantal" dataDxfId="2"/>
    <tableColumn id="8" xr3:uid="{3608FA86-752E-4ED4-99FD-4DAED37A44A5}" name="subtotaal" dataDxfId="1" dataCellStyle="Valuta">
      <calculatedColumnFormula>E2*G2</calculatedColumnFormula>
    </tableColumn>
    <tableColumn id="9" xr3:uid="{2231EED9-5837-451E-9D09-B77DCAFC7CE6}" name="som" dataDxfId="0">
      <calculatedColumnFormula>I1+H2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ne-fpv-racer.com/en/2s-300mah-80c-gnb-lihv-battery-xt30-by-gaoneng-13902.html" TargetMode="External"/><Relationship Id="rId2" Type="http://schemas.openxmlformats.org/officeDocument/2006/relationships/hyperlink" Target="https://www.amazon.com.be/-/nl/gp/product/B098JM714B/ref=ox_sc_rp_title_rp_1?smid=&amp;pf_rd_p=fe368e60-acff-4839-bd79-50fad4fe4d4e&amp;pf_rd_r=E397CGVM13SM2H6K05KZ&amp;pd_rd_wg=Uf45p&amp;pd_rd_i=B098JM714B&amp;pd_rd_w=Wd0r1&amp;content-id=amzn1.sym.fe368e60-acff-4839-bd79-50fad4fe4d4e&amp;pd_rd_r=7ccfce86-e801-494a-b935-186e17f992bf&amp;th=1" TargetMode="External"/><Relationship Id="rId1" Type="http://schemas.openxmlformats.org/officeDocument/2006/relationships/hyperlink" Target="https://www.amazon.com.be/-/nl/Geekworm-Stacking-Raspberry-specificaties-Extender/dp/B0828SRBTC/ref=pd_ci_mcx_mh_sb_sims_d_3_title?pd_rd_w=14sQJ&amp;content-id=amzn1.sym.8f021d27-412b-40ad-820a-d321a3d0c60c&amp;pf_rd_p=8f021d27-412b-40ad-820a-d321a3d0c60c&amp;pf_rd_r=QTF6CDE0P2VHTN68SBCK&amp;pd_rd_wg=H2gP2&amp;pd_rd_r=ea4340ae-6c0e-49cf-9859-53f1b8794667&amp;pd_rd_i=B0828SRBTC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79DB-861F-42E8-B230-7769230DB545}">
  <dimension ref="A1:L23"/>
  <sheetViews>
    <sheetView showFormulas="1" tabSelected="1" topLeftCell="B1" zoomScale="85" zoomScaleNormal="85" workbookViewId="0">
      <selection activeCell="J12" sqref="J12"/>
    </sheetView>
  </sheetViews>
  <sheetFormatPr defaultRowHeight="14.4" x14ac:dyDescent="0.3"/>
  <cols>
    <col min="1" max="1" width="12.77734375" customWidth="1"/>
    <col min="2" max="2" width="28.77734375" bestFit="1" customWidth="1"/>
    <col min="3" max="3" width="27.109375" bestFit="1" customWidth="1"/>
    <col min="4" max="4" width="14.5546875" bestFit="1" customWidth="1"/>
    <col min="5" max="5" width="14.77734375" bestFit="1" customWidth="1"/>
    <col min="6" max="6" width="9.88671875" bestFit="1" customWidth="1"/>
    <col min="7" max="7" width="8.44140625" bestFit="1" customWidth="1"/>
    <col min="8" max="8" width="11.77734375" bestFit="1" customWidth="1"/>
    <col min="9" max="9" width="6.88671875" bestFit="1" customWidth="1"/>
    <col min="10" max="10" width="9" customWidth="1"/>
  </cols>
  <sheetData>
    <row r="1" spans="1:12" x14ac:dyDescent="0.3">
      <c r="A1" t="s">
        <v>3</v>
      </c>
      <c r="B1" t="s">
        <v>2</v>
      </c>
      <c r="C1" t="s">
        <v>5</v>
      </c>
      <c r="D1" t="s">
        <v>4</v>
      </c>
      <c r="E1" t="s">
        <v>7</v>
      </c>
      <c r="F1" t="s">
        <v>33</v>
      </c>
      <c r="G1" t="s">
        <v>6</v>
      </c>
      <c r="H1" s="6" t="s">
        <v>8</v>
      </c>
      <c r="I1" s="4" t="s">
        <v>9</v>
      </c>
      <c r="L1" t="s">
        <v>10</v>
      </c>
    </row>
    <row r="2" spans="1:12" x14ac:dyDescent="0.3">
      <c r="A2" s="8">
        <v>1</v>
      </c>
      <c r="B2" s="8" t="s">
        <v>12</v>
      </c>
      <c r="C2" s="8" t="s">
        <v>13</v>
      </c>
      <c r="D2" s="8">
        <v>1</v>
      </c>
      <c r="E2" s="9">
        <v>6.5199999999999998E-3</v>
      </c>
      <c r="F2" s="10" t="s">
        <v>35</v>
      </c>
      <c r="G2" s="8">
        <v>15</v>
      </c>
      <c r="H2" s="9">
        <f>E2*G2</f>
        <v>9.7799999999999998E-2</v>
      </c>
      <c r="I2" s="11">
        <f>H2</f>
        <v>9.7799999999999998E-2</v>
      </c>
      <c r="L2" s="1" t="s">
        <v>14</v>
      </c>
    </row>
    <row r="3" spans="1:12" x14ac:dyDescent="0.3">
      <c r="A3" s="2">
        <v>2</v>
      </c>
      <c r="B3" s="2" t="s">
        <v>36</v>
      </c>
      <c r="C3" s="2" t="s">
        <v>56</v>
      </c>
      <c r="D3" s="2">
        <v>1</v>
      </c>
      <c r="E3" s="7">
        <f>15.36/1000</f>
        <v>1.5359999999999999E-2</v>
      </c>
      <c r="F3" s="2" t="s">
        <v>34</v>
      </c>
      <c r="G3" s="3">
        <v>0.6</v>
      </c>
      <c r="H3" s="7">
        <f>E3*G3</f>
        <v>9.2159999999999985E-3</v>
      </c>
      <c r="I3" s="5">
        <f>I2+H3</f>
        <v>0.107016</v>
      </c>
    </row>
    <row r="4" spans="1:12" x14ac:dyDescent="0.3">
      <c r="A4" s="12">
        <v>3</v>
      </c>
      <c r="B4" s="12" t="s">
        <v>18</v>
      </c>
      <c r="C4" s="12" t="s">
        <v>16</v>
      </c>
      <c r="D4" s="12">
        <v>0</v>
      </c>
      <c r="E4" s="13">
        <v>0.39</v>
      </c>
      <c r="F4" s="12" t="s">
        <v>37</v>
      </c>
      <c r="G4" s="12">
        <v>2</v>
      </c>
      <c r="H4" s="13">
        <f t="shared" ref="H4:H21" si="0">E4*G4</f>
        <v>0.78</v>
      </c>
      <c r="I4" s="14">
        <f t="shared" ref="I4:I21" si="1">I3+H4</f>
        <v>0.88701600000000003</v>
      </c>
    </row>
    <row r="5" spans="1:12" x14ac:dyDescent="0.3">
      <c r="A5" s="12">
        <v>4</v>
      </c>
      <c r="B5" s="12" t="s">
        <v>0</v>
      </c>
      <c r="C5" s="12" t="s">
        <v>17</v>
      </c>
      <c r="D5" s="12">
        <v>0</v>
      </c>
      <c r="E5" s="13">
        <v>0.39</v>
      </c>
      <c r="F5" s="12" t="s">
        <v>37</v>
      </c>
      <c r="G5" s="12">
        <v>2</v>
      </c>
      <c r="H5" s="13">
        <f t="shared" si="0"/>
        <v>0.78</v>
      </c>
      <c r="I5" s="14">
        <f t="shared" si="1"/>
        <v>1.6670160000000001</v>
      </c>
    </row>
    <row r="6" spans="1:12" x14ac:dyDescent="0.3">
      <c r="A6" s="12">
        <v>5</v>
      </c>
      <c r="B6" s="12" t="s">
        <v>19</v>
      </c>
      <c r="C6" s="12" t="s">
        <v>20</v>
      </c>
      <c r="D6" s="12">
        <v>1</v>
      </c>
      <c r="E6" s="13">
        <v>4.5</v>
      </c>
      <c r="F6" s="12" t="s">
        <v>37</v>
      </c>
      <c r="G6" s="12">
        <v>2</v>
      </c>
      <c r="H6" s="13">
        <f t="shared" si="0"/>
        <v>9</v>
      </c>
      <c r="I6" s="14">
        <f t="shared" si="1"/>
        <v>10.667016</v>
      </c>
    </row>
    <row r="7" spans="1:12" x14ac:dyDescent="0.3">
      <c r="A7" s="12">
        <v>6</v>
      </c>
      <c r="B7" s="12" t="s">
        <v>21</v>
      </c>
      <c r="C7" s="12" t="s">
        <v>22</v>
      </c>
      <c r="D7" s="12">
        <v>1</v>
      </c>
      <c r="E7" s="13">
        <v>5.36</v>
      </c>
      <c r="F7" s="12" t="s">
        <v>37</v>
      </c>
      <c r="G7" s="12">
        <v>1</v>
      </c>
      <c r="H7" s="13">
        <f t="shared" si="0"/>
        <v>5.36</v>
      </c>
      <c r="I7" s="14">
        <f t="shared" si="1"/>
        <v>16.027016</v>
      </c>
      <c r="L7" s="1" t="s">
        <v>24</v>
      </c>
    </row>
    <row r="8" spans="1:12" x14ac:dyDescent="0.3">
      <c r="A8" s="12">
        <v>7</v>
      </c>
      <c r="B8" s="12" t="s">
        <v>23</v>
      </c>
      <c r="C8" s="12"/>
      <c r="D8" s="12">
        <v>1</v>
      </c>
      <c r="E8" s="13">
        <v>9</v>
      </c>
      <c r="F8" s="12" t="s">
        <v>37</v>
      </c>
      <c r="G8" s="12">
        <v>1</v>
      </c>
      <c r="H8" s="13">
        <f t="shared" si="0"/>
        <v>9</v>
      </c>
      <c r="I8" s="14">
        <f t="shared" si="1"/>
        <v>25.027016</v>
      </c>
    </row>
    <row r="9" spans="1:12" x14ac:dyDescent="0.3">
      <c r="A9" s="12">
        <v>8</v>
      </c>
      <c r="B9" s="12" t="s">
        <v>28</v>
      </c>
      <c r="C9" s="12" t="s">
        <v>27</v>
      </c>
      <c r="D9" s="12">
        <v>1</v>
      </c>
      <c r="E9" s="13">
        <v>3</v>
      </c>
      <c r="F9" s="12" t="s">
        <v>37</v>
      </c>
      <c r="G9" s="12">
        <v>1</v>
      </c>
      <c r="H9" s="13">
        <f t="shared" si="0"/>
        <v>3</v>
      </c>
      <c r="I9" s="14">
        <f t="shared" si="1"/>
        <v>28.027016</v>
      </c>
    </row>
    <row r="10" spans="1:12" x14ac:dyDescent="0.3">
      <c r="A10" s="12">
        <v>9</v>
      </c>
      <c r="B10" s="12" t="s">
        <v>26</v>
      </c>
      <c r="C10" s="12" t="s">
        <v>25</v>
      </c>
      <c r="D10" s="12">
        <v>1</v>
      </c>
      <c r="E10" s="13">
        <v>3</v>
      </c>
      <c r="F10" s="12" t="s">
        <v>37</v>
      </c>
      <c r="G10" s="12">
        <v>1</v>
      </c>
      <c r="H10" s="13">
        <f t="shared" si="0"/>
        <v>3</v>
      </c>
      <c r="I10" s="14">
        <f t="shared" si="1"/>
        <v>31.027016</v>
      </c>
    </row>
    <row r="11" spans="1:12" x14ac:dyDescent="0.3">
      <c r="A11" s="12">
        <v>10</v>
      </c>
      <c r="B11" s="12" t="s">
        <v>41</v>
      </c>
      <c r="C11" s="12" t="s">
        <v>54</v>
      </c>
      <c r="D11" s="12">
        <v>0</v>
      </c>
      <c r="E11" s="13">
        <v>0.2</v>
      </c>
      <c r="F11" s="12" t="s">
        <v>37</v>
      </c>
      <c r="G11" s="12">
        <v>4</v>
      </c>
      <c r="H11" s="13">
        <f t="shared" si="0"/>
        <v>0.8</v>
      </c>
      <c r="I11" s="14">
        <f t="shared" si="1"/>
        <v>31.827016</v>
      </c>
    </row>
    <row r="12" spans="1:12" x14ac:dyDescent="0.3">
      <c r="A12" s="12">
        <v>11</v>
      </c>
      <c r="B12" s="12" t="s">
        <v>42</v>
      </c>
      <c r="C12" s="12" t="s">
        <v>40</v>
      </c>
      <c r="D12" s="12">
        <v>0</v>
      </c>
      <c r="E12" s="13">
        <v>0.4</v>
      </c>
      <c r="F12" s="12" t="s">
        <v>37</v>
      </c>
      <c r="G12" s="12">
        <v>6</v>
      </c>
      <c r="H12" s="13">
        <f t="shared" si="0"/>
        <v>2.4000000000000004</v>
      </c>
      <c r="I12" s="14">
        <f t="shared" si="1"/>
        <v>34.227015999999999</v>
      </c>
    </row>
    <row r="13" spans="1:12" x14ac:dyDescent="0.3">
      <c r="A13" s="12">
        <v>12</v>
      </c>
      <c r="B13" s="12" t="s">
        <v>29</v>
      </c>
      <c r="C13" s="12" t="s">
        <v>30</v>
      </c>
      <c r="D13" s="12">
        <v>1</v>
      </c>
      <c r="E13" s="13">
        <v>7</v>
      </c>
      <c r="F13" s="12" t="s">
        <v>37</v>
      </c>
      <c r="G13" s="12">
        <v>1</v>
      </c>
      <c r="H13" s="13">
        <f t="shared" si="0"/>
        <v>7</v>
      </c>
      <c r="I13" s="14">
        <f t="shared" si="1"/>
        <v>41.227015999999999</v>
      </c>
    </row>
    <row r="14" spans="1:12" x14ac:dyDescent="0.3">
      <c r="A14" s="12">
        <v>13</v>
      </c>
      <c r="B14" s="12" t="s">
        <v>31</v>
      </c>
      <c r="C14" s="12" t="s">
        <v>32</v>
      </c>
      <c r="D14" s="12">
        <v>1</v>
      </c>
      <c r="E14" s="13">
        <v>3.5</v>
      </c>
      <c r="F14" s="12" t="s">
        <v>37</v>
      </c>
      <c r="G14" s="12">
        <v>1</v>
      </c>
      <c r="H14" s="13">
        <f t="shared" si="0"/>
        <v>3.5</v>
      </c>
      <c r="I14" s="14">
        <f t="shared" si="1"/>
        <v>44.727015999999999</v>
      </c>
    </row>
    <row r="15" spans="1:12" x14ac:dyDescent="0.3">
      <c r="A15" s="12">
        <v>14</v>
      </c>
      <c r="B15" s="12" t="s">
        <v>1</v>
      </c>
      <c r="C15" s="12" t="s">
        <v>48</v>
      </c>
      <c r="D15" s="12">
        <v>0</v>
      </c>
      <c r="E15" s="13">
        <v>0.01</v>
      </c>
      <c r="F15" s="12" t="s">
        <v>37</v>
      </c>
      <c r="G15" s="12">
        <v>2</v>
      </c>
      <c r="H15" s="13">
        <f t="shared" si="0"/>
        <v>0.02</v>
      </c>
      <c r="I15" s="14">
        <f t="shared" si="1"/>
        <v>44.747016000000002</v>
      </c>
    </row>
    <row r="16" spans="1:12" x14ac:dyDescent="0.3">
      <c r="A16" s="12">
        <v>15</v>
      </c>
      <c r="B16" s="12" t="s">
        <v>43</v>
      </c>
      <c r="C16" s="12" t="s">
        <v>55</v>
      </c>
      <c r="D16" s="12">
        <v>0</v>
      </c>
      <c r="E16" s="13">
        <v>0.3</v>
      </c>
      <c r="F16" s="12" t="s">
        <v>37</v>
      </c>
      <c r="G16" s="12">
        <v>2</v>
      </c>
      <c r="H16" s="13">
        <f t="shared" si="0"/>
        <v>0.6</v>
      </c>
      <c r="I16" s="14">
        <f t="shared" si="1"/>
        <v>45.347016000000004</v>
      </c>
    </row>
    <row r="17" spans="1:12" x14ac:dyDescent="0.3">
      <c r="A17" s="2">
        <v>16</v>
      </c>
      <c r="B17" s="2" t="s">
        <v>44</v>
      </c>
      <c r="C17" s="2" t="s">
        <v>15</v>
      </c>
      <c r="D17" s="2">
        <v>1</v>
      </c>
      <c r="E17" s="7">
        <f>15.36/1000</f>
        <v>1.5359999999999999E-2</v>
      </c>
      <c r="F17" s="2" t="s">
        <v>34</v>
      </c>
      <c r="G17" s="2">
        <v>19.04</v>
      </c>
      <c r="H17" s="7">
        <f t="shared" si="0"/>
        <v>0.29245439999999995</v>
      </c>
      <c r="I17" s="5">
        <f t="shared" si="1"/>
        <v>45.6394704</v>
      </c>
    </row>
    <row r="18" spans="1:12" x14ac:dyDescent="0.3">
      <c r="A18" s="2">
        <v>17</v>
      </c>
      <c r="B18" s="2" t="s">
        <v>45</v>
      </c>
      <c r="C18" s="2" t="s">
        <v>15</v>
      </c>
      <c r="D18" s="2">
        <v>1</v>
      </c>
      <c r="E18" s="7">
        <f>15.36/1000</f>
        <v>1.5359999999999999E-2</v>
      </c>
      <c r="F18" s="2" t="s">
        <v>34</v>
      </c>
      <c r="G18" s="2">
        <v>0.68</v>
      </c>
      <c r="H18" s="7">
        <f t="shared" si="0"/>
        <v>1.0444800000000001E-2</v>
      </c>
      <c r="I18" s="5">
        <f t="shared" si="1"/>
        <v>45.649915200000002</v>
      </c>
    </row>
    <row r="19" spans="1:12" x14ac:dyDescent="0.3">
      <c r="A19" s="12">
        <v>18</v>
      </c>
      <c r="B19" s="12" t="s">
        <v>52</v>
      </c>
      <c r="C19" s="12" t="s">
        <v>53</v>
      </c>
      <c r="D19" s="12">
        <v>0</v>
      </c>
      <c r="E19" s="13">
        <v>0.65</v>
      </c>
      <c r="F19" s="12" t="s">
        <v>37</v>
      </c>
      <c r="G19" s="12">
        <v>1</v>
      </c>
      <c r="H19" s="13">
        <f t="shared" si="0"/>
        <v>0.65</v>
      </c>
      <c r="I19" s="14">
        <f t="shared" si="1"/>
        <v>46.299915200000001</v>
      </c>
    </row>
    <row r="20" spans="1:12" x14ac:dyDescent="0.3">
      <c r="A20" s="12">
        <v>19</v>
      </c>
      <c r="B20" s="12" t="s">
        <v>49</v>
      </c>
      <c r="C20" s="12" t="s">
        <v>47</v>
      </c>
      <c r="D20" s="12">
        <v>1</v>
      </c>
      <c r="E20" s="13">
        <v>0.9</v>
      </c>
      <c r="F20" s="12" t="s">
        <v>37</v>
      </c>
      <c r="G20" s="12">
        <v>2</v>
      </c>
      <c r="H20" s="13">
        <f t="shared" si="0"/>
        <v>1.8</v>
      </c>
      <c r="I20" s="14">
        <f t="shared" si="1"/>
        <v>48.099915199999998</v>
      </c>
      <c r="L20" s="1" t="s">
        <v>11</v>
      </c>
    </row>
    <row r="21" spans="1:12" x14ac:dyDescent="0.3">
      <c r="A21" s="12">
        <v>20</v>
      </c>
      <c r="B21" s="12" t="s">
        <v>49</v>
      </c>
      <c r="C21" s="12" t="s">
        <v>50</v>
      </c>
      <c r="D21" s="12">
        <v>1</v>
      </c>
      <c r="E21" s="13">
        <v>0.1</v>
      </c>
      <c r="F21" s="12" t="s">
        <v>37</v>
      </c>
      <c r="G21" s="12">
        <v>2</v>
      </c>
      <c r="H21" s="13">
        <f t="shared" si="0"/>
        <v>0.2</v>
      </c>
      <c r="I21" s="14">
        <f t="shared" si="1"/>
        <v>48.299915200000001</v>
      </c>
    </row>
    <row r="22" spans="1:12" x14ac:dyDescent="0.3">
      <c r="A22" s="12">
        <v>21</v>
      </c>
      <c r="B22" s="12" t="s">
        <v>38</v>
      </c>
      <c r="C22" s="12" t="s">
        <v>46</v>
      </c>
      <c r="D22" s="12">
        <v>1</v>
      </c>
      <c r="E22" s="13">
        <v>1.75</v>
      </c>
      <c r="F22" s="12" t="s">
        <v>37</v>
      </c>
      <c r="G22" s="12">
        <v>1</v>
      </c>
      <c r="H22" s="13">
        <f t="shared" ref="H22:H23" si="2">E22*G22</f>
        <v>1.75</v>
      </c>
      <c r="I22" s="14">
        <f t="shared" ref="I22:I23" si="3">I21+H22</f>
        <v>50.049915200000001</v>
      </c>
    </row>
    <row r="23" spans="1:12" x14ac:dyDescent="0.3">
      <c r="A23" s="12">
        <v>22</v>
      </c>
      <c r="B23" s="12" t="s">
        <v>39</v>
      </c>
      <c r="C23" s="12" t="s">
        <v>51</v>
      </c>
      <c r="D23" s="12">
        <v>1</v>
      </c>
      <c r="E23" s="13">
        <v>3.7199999999999997E-2</v>
      </c>
      <c r="F23" s="12" t="s">
        <v>37</v>
      </c>
      <c r="G23" s="12">
        <v>11</v>
      </c>
      <c r="H23" s="13">
        <f t="shared" si="2"/>
        <v>0.40919999999999995</v>
      </c>
      <c r="I23" s="14">
        <f t="shared" si="3"/>
        <v>50.459115199999999</v>
      </c>
    </row>
  </sheetData>
  <hyperlinks>
    <hyperlink ref="L20" r:id="rId1" display="https://www.amazon.com.be/-/nl/Geekworm-Stacking-Raspberry-specificaties-Extender/dp/B0828SRBTC/ref=pd_ci_mcx_mh_sb_sims_d_3_title?pd_rd_w=14sQJ&amp;content-id=amzn1.sym.8f021d27-412b-40ad-820a-d321a3d0c60c&amp;pf_rd_p=8f021d27-412b-40ad-820a-d321a3d0c60c&amp;pf_rd_r=QTF6CDE0P2VHTN68SBCK&amp;pd_rd_wg=H2gP2&amp;pd_rd_r=ea4340ae-6c0e-49cf-9859-53f1b8794667&amp;pd_rd_i=B0828SRBTC " xr:uid="{6B866937-446F-4F20-A6C7-196659DA6F5E}"/>
    <hyperlink ref="L2" r:id="rId2" display="https://www.amazon.com.be/-/nl/gp/product/B098JM714B/ref=ox_sc_rp_title_rp_1?smid=&amp;pf_rd_p=fe368e60-acff-4839-bd79-50fad4fe4d4e&amp;pf_rd_r=E397CGVM13SM2H6K05KZ&amp;pd_rd_wg=Uf45p&amp;pd_rd_i=B098JM714B&amp;pd_rd_w=Wd0r1&amp;content-id=amzn1.sym.fe368e60-acff-4839-bd79-50fad4fe4d4e&amp;pd_rd_r=7ccfce86-e801-494a-b935-186e17f992bf&amp;th=1 " xr:uid="{EAEECF83-9423-4B56-A8AA-72EF5F4E2919}"/>
    <hyperlink ref="L7" r:id="rId3" xr:uid="{B6A8F321-ABC6-4A80-882F-4DCC4B555D49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Demey</dc:creator>
  <cp:lastModifiedBy>Kobe Demey</cp:lastModifiedBy>
  <cp:lastPrinted>2025-11-12T16:10:50Z</cp:lastPrinted>
  <dcterms:created xsi:type="dcterms:W3CDTF">2025-11-12T14:59:57Z</dcterms:created>
  <dcterms:modified xsi:type="dcterms:W3CDTF">2025-11-12T16:18:12Z</dcterms:modified>
</cp:coreProperties>
</file>